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Workflow Overview" sheetId="1" state="visible" r:id="rId1"/>
    <sheet name="02_15 Challenges" sheetId="2" state="visible" r:id="rId2"/>
    <sheet name="03_Master Questionnaire" sheetId="3" state="visible" r:id="rId3"/>
    <sheet name="04_Example Calcu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2"/>
    </font>
    <font>
      <b val="1"/>
      <color rgb="FFFFFFFF"/>
      <sz val="11"/>
    </font>
    <font>
      <b val="1"/>
      <sz val="11"/>
    </font>
    <font>
      <b val="1"/>
      <sz val="10"/>
    </font>
    <font>
      <b val="1"/>
    </font>
    <font>
      <b val="1"/>
      <sz val="12"/>
    </font>
    <font>
      <b val="1"/>
      <color rgb="FFDC2626"/>
      <sz val="14"/>
    </font>
  </fonts>
  <fills count="9">
    <fill>
      <patternFill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0D9488"/>
        <bgColor rgb="FF0D9488"/>
      </patternFill>
    </fill>
    <fill>
      <patternFill patternType="solid">
        <fgColor rgb="FFCCFBF1"/>
        <bgColor rgb="FFCCFBF1"/>
      </patternFill>
    </fill>
    <fill>
      <patternFill patternType="solid">
        <fgColor rgb="FFE2E8F0"/>
        <bgColor rgb="FFE2E8F0"/>
      </patternFill>
    </fill>
    <fill>
      <patternFill patternType="solid">
        <fgColor rgb="FFFEF3C7"/>
        <bgColor rgb="FFFEF3C7"/>
      </patternFill>
    </fill>
    <fill>
      <patternFill patternType="solid">
        <fgColor rgb="FFFFE4E6"/>
        <bgColor rgb="FFFFE4E6"/>
      </patternFill>
    </fill>
    <fill>
      <patternFill patternType="solid">
        <fgColor rgb="FFDC2626"/>
        <bgColor rgb="FF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4" fillId="5" borderId="0" pivotButton="0" quotePrefix="0" xfId="0"/>
    <xf numFmtId="0" fontId="5" fillId="4" borderId="0" pivotButton="0" quotePrefix="0" xfId="0"/>
    <xf numFmtId="0" fontId="5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1" fillId="8" borderId="0" pivotButton="0" quotePrefix="0" xfId="0"/>
    <xf numFmtId="0" fontId="6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</cols>
  <sheetData>
    <row r="1" ht="25" customHeight="1">
      <c r="A1" s="1" t="inlineStr">
        <is>
          <t>DISHA FIRST OPINION ENGINE - USER WORKFLOW</t>
        </is>
      </c>
    </row>
    <row r="3">
      <c r="A3" s="2" t="inlineStr">
        <is>
          <t>STEP-BY-STEP USER WORKFLOW</t>
        </is>
      </c>
    </row>
    <row r="4" ht="30" customHeight="1">
      <c r="A4" s="3" t="inlineStr">
        <is>
          <t>STEP 1</t>
        </is>
      </c>
      <c r="B4" s="4" t="inlineStr">
        <is>
          <t>School Registration</t>
        </is>
      </c>
      <c r="C4" s="5" t="inlineStr">
        <is>
          <t>Enter school name, board, location, student count, fees</t>
        </is>
      </c>
    </row>
    <row r="5" ht="30" customHeight="1">
      <c r="A5" s="3" t="inlineStr">
        <is>
          <t>STEP 2</t>
        </is>
      </c>
      <c r="B5" s="4" t="inlineStr">
        <is>
          <t>Challenge Selection</t>
        </is>
      </c>
      <c r="C5" s="5" t="inlineStr">
        <is>
          <t>Select 1-3 primary operational challenges from 15 options</t>
        </is>
      </c>
    </row>
    <row r="6" ht="30" customHeight="1">
      <c r="A6" s="3" t="inlineStr">
        <is>
          <t>STEP 3</t>
        </is>
      </c>
      <c r="B6" s="4" t="inlineStr">
        <is>
          <t>Dynamic Screening</t>
        </is>
      </c>
      <c r="C6" s="5" t="inlineStr">
        <is>
          <t>Answer 3 questions per selected challenge (customized per challenge)</t>
        </is>
      </c>
    </row>
    <row r="7" ht="30" customHeight="1">
      <c r="A7" s="3" t="inlineStr">
        <is>
          <t>STEP 4</t>
        </is>
      </c>
      <c r="B7" s="4" t="inlineStr">
        <is>
          <t>Operational Metrics</t>
        </is>
      </c>
      <c r="C7" s="5" t="inlineStr">
        <is>
          <t>Enter 4 key metrics: STR, Parent SLA, Training, Planning hours</t>
        </is>
      </c>
    </row>
    <row r="8" ht="30" customHeight="1">
      <c r="A8" s="3" t="inlineStr">
        <is>
          <t>STEP 5</t>
        </is>
      </c>
      <c r="B8" s="4" t="inlineStr">
        <is>
          <t>Evidence Upload</t>
        </is>
      </c>
      <c r="C8" s="5" t="inlineStr">
        <is>
          <t>Optional: Upload CSV samples (attendance, fees, staff)</t>
        </is>
      </c>
    </row>
    <row r="9" ht="30" customHeight="1">
      <c r="A9" s="3" t="inlineStr">
        <is>
          <t>STEP 6</t>
        </is>
      </c>
      <c r="B9" s="4" t="inlineStr">
        <is>
          <t>Auto-Calculation</t>
        </is>
      </c>
      <c r="C9" s="5" t="inlineStr">
        <is>
          <t>System calculates: S_sub, M_obj, P_mismatch</t>
        </is>
      </c>
    </row>
    <row r="10" ht="30" customHeight="1">
      <c r="A10" s="3" t="inlineStr">
        <is>
          <t>STEP 7</t>
        </is>
      </c>
      <c r="B10" s="4" t="inlineStr">
        <is>
          <t>Diagnosis &amp; Output</t>
        </is>
      </c>
      <c r="C10" s="5" t="inlineStr">
        <is>
          <t>Get health index (0-100), risk quadrant, prescriptive actions</t>
        </is>
      </c>
    </row>
  </sheetData>
  <mergeCells count="9">
    <mergeCell ref="C9:F9"/>
    <mergeCell ref="C8:F8"/>
    <mergeCell ref="C4:F4"/>
    <mergeCell ref="A1:F1"/>
    <mergeCell ref="C6:F6"/>
    <mergeCell ref="C7:F7"/>
    <mergeCell ref="A3:F3"/>
    <mergeCell ref="C5:F5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25" customWidth="1" min="4" max="4"/>
    <col width="20" customWidth="1" min="5" max="5"/>
    <col width="15" customWidth="1" min="6" max="6"/>
  </cols>
  <sheetData>
    <row r="1" ht="25" customHeight="1">
      <c r="A1" s="1" t="inlineStr">
        <is>
          <t>DISHA CHALLENGE CATALOG - 15 INSTITUTIONAL CHALLENGES</t>
        </is>
      </c>
    </row>
    <row r="3">
      <c r="A3" s="1" t="inlineStr">
        <is>
          <t>Category</t>
        </is>
      </c>
      <c r="B3" s="1" t="inlineStr">
        <is>
          <t>Challenge ID</t>
        </is>
      </c>
      <c r="C3" s="1" t="inlineStr">
        <is>
          <t>Challenge Name</t>
        </is>
      </c>
      <c r="D3" s="1" t="inlineStr">
        <is>
          <t>Primary Metric</t>
        </is>
      </c>
      <c r="E3" s="1" t="inlineStr">
        <is>
          <t>Data Source</t>
        </is>
      </c>
      <c r="F3" s="1" t="inlineStr">
        <is>
          <t>Benchmark</t>
        </is>
      </c>
    </row>
    <row r="4" ht="25" customHeight="1">
      <c r="A4" s="6" t="inlineStr">
        <is>
          <t>Growth &amp; Enrollment</t>
        </is>
      </c>
      <c r="B4" s="5" t="inlineStr">
        <is>
          <t>C1</t>
        </is>
      </c>
      <c r="C4" s="5" t="inlineStr">
        <is>
          <t>Enrollment Decline</t>
        </is>
      </c>
      <c r="D4" s="5" t="inlineStr">
        <is>
          <t>Inquiry-to-admission %</t>
        </is>
      </c>
      <c r="E4" s="5" t="inlineStr">
        <is>
          <t>Inquiry logs</t>
        </is>
      </c>
      <c r="F4" s="5" t="inlineStr">
        <is>
          <t>&gt;25%</t>
        </is>
      </c>
    </row>
    <row r="5" ht="25" customHeight="1">
      <c r="A5" s="6" t="inlineStr">
        <is>
          <t>Growth &amp; Enrollment</t>
        </is>
      </c>
      <c r="B5" s="5" t="inlineStr">
        <is>
          <t>C2</t>
        </is>
      </c>
      <c r="C5" s="5" t="inlineStr">
        <is>
          <t>Student Attrition</t>
        </is>
      </c>
      <c r="D5" s="5" t="inlineStr">
        <is>
          <t>Annual dropout %</t>
        </is>
      </c>
      <c r="E5" s="5" t="inlineStr">
        <is>
          <t>Enrollment records</t>
        </is>
      </c>
      <c r="F5" s="5" t="inlineStr">
        <is>
          <t>&lt;5%</t>
        </is>
      </c>
    </row>
    <row r="6" ht="25" customHeight="1">
      <c r="A6" s="6" t="inlineStr">
        <is>
          <t>Growth &amp; Enrollment</t>
        </is>
      </c>
      <c r="B6" s="5" t="inlineStr">
        <is>
          <t>C3</t>
        </is>
      </c>
      <c r="C6" s="5" t="inlineStr">
        <is>
          <t>Fee Collection</t>
        </is>
      </c>
      <c r="D6" s="5" t="inlineStr">
        <is>
          <t>Fee default %</t>
        </is>
      </c>
      <c r="E6" s="5" t="inlineStr">
        <is>
          <t>Finance ledger</t>
        </is>
      </c>
      <c r="F6" s="5" t="inlineStr">
        <is>
          <t>&lt;5%</t>
        </is>
      </c>
    </row>
    <row r="7" ht="25" customHeight="1">
      <c r="A7" s="6" t="inlineStr">
        <is>
          <t>People &amp; Staffing</t>
        </is>
      </c>
      <c r="B7" s="5" t="inlineStr">
        <is>
          <t>C4</t>
        </is>
      </c>
      <c r="C7" s="5" t="inlineStr">
        <is>
          <t>Teacher Attrition</t>
        </is>
      </c>
      <c r="D7" s="5" t="inlineStr">
        <is>
          <t>Annual turnover %</t>
        </is>
      </c>
      <c r="E7" s="5" t="inlineStr">
        <is>
          <t>HR records</t>
        </is>
      </c>
      <c r="F7" s="5" t="inlineStr">
        <is>
          <t>&lt;10%</t>
        </is>
      </c>
    </row>
    <row r="8" ht="25" customHeight="1">
      <c r="A8" s="6" t="inlineStr">
        <is>
          <t>People &amp; Staffing</t>
        </is>
      </c>
      <c r="B8" s="5" t="inlineStr">
        <is>
          <t>C5</t>
        </is>
      </c>
      <c r="C8" s="5" t="inlineStr">
        <is>
          <t>Staff Capability</t>
        </is>
      </c>
      <c r="D8" s="5" t="inlineStr">
        <is>
          <t>Training hours/year</t>
        </is>
      </c>
      <c r="E8" s="5" t="inlineStr">
        <is>
          <t>CPD logs</t>
        </is>
      </c>
      <c r="F8" s="5" t="inlineStr">
        <is>
          <t>&gt;=25 hrs</t>
        </is>
      </c>
    </row>
    <row r="9" ht="25" customHeight="1">
      <c r="A9" s="6" t="inlineStr">
        <is>
          <t>People &amp; Staffing</t>
        </is>
      </c>
      <c r="B9" s="5" t="inlineStr">
        <is>
          <t>C6</t>
        </is>
      </c>
      <c r="C9" s="5" t="inlineStr">
        <is>
          <t>Leadership Gap</t>
        </is>
      </c>
      <c r="D9" s="5" t="inlineStr">
        <is>
          <t>Pipeline ratio</t>
        </is>
      </c>
      <c r="E9" s="5" t="inlineStr">
        <is>
          <t>Org chart</t>
        </is>
      </c>
      <c r="F9" s="5" t="inlineStr">
        <is>
          <t>3+ people</t>
        </is>
      </c>
    </row>
    <row r="10" ht="25" customHeight="1">
      <c r="A10" s="6" t="inlineStr">
        <is>
          <t>Academic &amp; Wellbeing</t>
        </is>
      </c>
      <c r="B10" s="5" t="inlineStr">
        <is>
          <t>C7</t>
        </is>
      </c>
      <c r="C10" s="5" t="inlineStr">
        <is>
          <t>Academic Decline</t>
        </is>
      </c>
      <c r="D10" s="5" t="inlineStr">
        <is>
          <t>Board pass %</t>
        </is>
      </c>
      <c r="E10" s="5" t="inlineStr">
        <is>
          <t>Board results</t>
        </is>
      </c>
      <c r="F10" s="5" t="inlineStr">
        <is>
          <t>&gt;90%</t>
        </is>
      </c>
    </row>
    <row r="11" ht="25" customHeight="1">
      <c r="A11" s="6" t="inlineStr">
        <is>
          <t>Academic &amp; Wellbeing</t>
        </is>
      </c>
      <c r="B11" s="5" t="inlineStr">
        <is>
          <t>C8</t>
        </is>
      </c>
      <c r="C11" s="5" t="inlineStr">
        <is>
          <t>Student Wellbeing</t>
        </is>
      </c>
      <c r="D11" s="5" t="inlineStr">
        <is>
          <t>Wellness index</t>
        </is>
      </c>
      <c r="E11" s="5" t="inlineStr">
        <is>
          <t>Surveys</t>
        </is>
      </c>
      <c r="F11" s="5" t="inlineStr">
        <is>
          <t>High</t>
        </is>
      </c>
    </row>
    <row r="12" ht="25" customHeight="1">
      <c r="A12" s="6" t="inlineStr">
        <is>
          <t>Academic &amp; Wellbeing</t>
        </is>
      </c>
      <c r="B12" s="5" t="inlineStr">
        <is>
          <t>C9</t>
        </is>
      </c>
      <c r="C12" s="5" t="inlineStr">
        <is>
          <t>Remedial Gap</t>
        </is>
      </c>
      <c r="D12" s="5" t="inlineStr">
        <is>
          <t>Coverage %</t>
        </is>
      </c>
      <c r="E12" s="5" t="inlineStr">
        <is>
          <t>Academic records</t>
        </is>
      </c>
      <c r="F12" s="5" t="inlineStr">
        <is>
          <t>&gt;90%</t>
        </is>
      </c>
    </row>
    <row r="13" ht="25" customHeight="1">
      <c r="A13" s="6" t="inlineStr">
        <is>
          <t>Reputation &amp; Competition</t>
        </is>
      </c>
      <c r="B13" s="5" t="inlineStr">
        <is>
          <t>C10</t>
        </is>
      </c>
      <c r="C13" s="5" t="inlineStr">
        <is>
          <t>Parent Communication</t>
        </is>
      </c>
      <c r="D13" s="5" t="inlineStr">
        <is>
          <t>Response time (hrs)</t>
        </is>
      </c>
      <c r="E13" s="5" t="inlineStr">
        <is>
          <t>Ticketing</t>
        </is>
      </c>
      <c r="F13" s="5" t="inlineStr">
        <is>
          <t>&lt;=12 hrs</t>
        </is>
      </c>
    </row>
    <row r="14" ht="25" customHeight="1">
      <c r="A14" s="6" t="inlineStr">
        <is>
          <t>Reputation &amp; Competition</t>
        </is>
      </c>
      <c r="B14" s="5" t="inlineStr">
        <is>
          <t>C11</t>
        </is>
      </c>
      <c r="C14" s="5" t="inlineStr">
        <is>
          <t>Competitor Pressure</t>
        </is>
      </c>
      <c r="D14" s="5" t="inlineStr">
        <is>
          <t>Market position</t>
        </is>
      </c>
      <c r="E14" s="5" t="inlineStr">
        <is>
          <t>Market analysis</t>
        </is>
      </c>
      <c r="F14" s="5" t="inlineStr">
        <is>
          <t>Strong</t>
        </is>
      </c>
    </row>
    <row r="15" ht="25" customHeight="1">
      <c r="A15" s="6" t="inlineStr">
        <is>
          <t>Reputation &amp; Competition</t>
        </is>
      </c>
      <c r="B15" s="5" t="inlineStr">
        <is>
          <t>C12</t>
        </is>
      </c>
      <c r="C15" s="5" t="inlineStr">
        <is>
          <t>Brand Perception</t>
        </is>
      </c>
      <c r="D15" s="5" t="inlineStr">
        <is>
          <t>NPS score</t>
        </is>
      </c>
      <c r="E15" s="5" t="inlineStr">
        <is>
          <t>Parent surveys</t>
        </is>
      </c>
      <c r="F15" s="5" t="inlineStr">
        <is>
          <t>&gt;50</t>
        </is>
      </c>
    </row>
    <row r="16" ht="25" customHeight="1">
      <c r="A16" s="6" t="inlineStr">
        <is>
          <t>Operations &amp; Finance</t>
        </is>
      </c>
      <c r="B16" s="5" t="inlineStr">
        <is>
          <t>C13</t>
        </is>
      </c>
      <c r="C16" s="5" t="inlineStr">
        <is>
          <t>Cost Inflation</t>
        </is>
      </c>
      <c r="D16" s="5" t="inlineStr">
        <is>
          <t>Cost-to-revenue %</t>
        </is>
      </c>
      <c r="E16" s="5" t="inlineStr">
        <is>
          <t>Finance</t>
        </is>
      </c>
      <c r="F16" s="5" t="inlineStr">
        <is>
          <t>&lt;65%</t>
        </is>
      </c>
    </row>
    <row r="17" ht="25" customHeight="1">
      <c r="A17" s="6" t="inlineStr">
        <is>
          <t>Operations &amp; Finance</t>
        </is>
      </c>
      <c r="B17" s="5" t="inlineStr">
        <is>
          <t>C14</t>
        </is>
      </c>
      <c r="C17" s="5" t="inlineStr">
        <is>
          <t>Infrastructure</t>
        </is>
      </c>
      <c r="D17" s="5" t="inlineStr">
        <is>
          <t>Facility condition</t>
        </is>
      </c>
      <c r="E17" s="5" t="inlineStr">
        <is>
          <t>Audit</t>
        </is>
      </c>
      <c r="F17" s="5" t="inlineStr">
        <is>
          <t>Excellent</t>
        </is>
      </c>
    </row>
    <row r="18" ht="25" customHeight="1">
      <c r="A18" s="6" t="inlineStr">
        <is>
          <t>Operations &amp; Finance</t>
        </is>
      </c>
      <c r="B18" s="5" t="inlineStr">
        <is>
          <t>C15</t>
        </is>
      </c>
      <c r="C18" s="5" t="inlineStr">
        <is>
          <t>Compliance</t>
        </is>
      </c>
      <c r="D18" s="5" t="inlineStr">
        <is>
          <t>Audit score</t>
        </is>
      </c>
      <c r="E18" s="5" t="inlineStr">
        <is>
          <t>Board records</t>
        </is>
      </c>
      <c r="F18" s="5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8" customWidth="1" min="4" max="4"/>
    <col width="25" customWidth="1" min="5" max="5"/>
  </cols>
  <sheetData>
    <row r="1" ht="25" customHeight="1">
      <c r="A1" s="1" t="inlineStr">
        <is>
          <t>COMPLETE SCREENING QUESTIONNAIRE - ALL 15 CHALLENGES</t>
        </is>
      </c>
    </row>
    <row r="3" ht="20" customHeight="1">
      <c r="A3" s="2" t="inlineStr">
        <is>
          <t>C1: Enrollment Decline</t>
        </is>
      </c>
    </row>
    <row r="4">
      <c r="A4" s="7" t="inlineStr">
        <is>
          <t>Q ID</t>
        </is>
      </c>
      <c r="B4" s="7" t="inlineStr">
        <is>
          <t>Question</t>
        </is>
      </c>
      <c r="C4" s="7" t="inlineStr">
        <is>
          <t>Option</t>
        </is>
      </c>
      <c r="D4" s="7" t="inlineStr">
        <is>
          <t>Weight</t>
        </is>
      </c>
      <c r="E4" s="7" t="inlineStr">
        <is>
          <t>Interpretation</t>
        </is>
      </c>
    </row>
    <row r="5" ht="20" customHeight="1">
      <c r="A5" t="inlineStr">
        <is>
          <t>Q1.1</t>
        </is>
      </c>
      <c r="B5" s="5" t="inlineStr">
        <is>
          <t>Inquiry-to-Admission Conversion</t>
        </is>
      </c>
      <c r="C5" s="5" t="inlineStr">
        <is>
          <t>Above 25%</t>
        </is>
      </c>
      <c r="D5" s="8" t="n">
        <v>2</v>
      </c>
      <c r="E5" s="5" t="inlineStr">
        <is>
          <t>Healthy conversion</t>
        </is>
      </c>
    </row>
    <row r="6" ht="20" customHeight="1">
      <c r="A6" t="inlineStr">
        <is>
          <t>Q1.1</t>
        </is>
      </c>
      <c r="B6" s="5" t="inlineStr">
        <is>
          <t>Inquiry-to-Admission Conversion</t>
        </is>
      </c>
      <c r="C6" s="5" t="inlineStr">
        <is>
          <t>10-25%</t>
        </is>
      </c>
      <c r="D6" s="8" t="n">
        <v>6</v>
      </c>
      <c r="E6" s="5" t="inlineStr">
        <is>
          <t>Suboptimal conversion</t>
        </is>
      </c>
    </row>
    <row r="7" ht="20" customHeight="1">
      <c r="A7" t="inlineStr">
        <is>
          <t>Q1.1</t>
        </is>
      </c>
      <c r="B7" s="5" t="inlineStr">
        <is>
          <t>Inquiry-to-Admission Conversion</t>
        </is>
      </c>
      <c r="C7" s="5" t="inlineStr">
        <is>
          <t>Below 10%</t>
        </is>
      </c>
      <c r="D7" s="8" t="n">
        <v>10</v>
      </c>
      <c r="E7" s="5" t="inlineStr">
        <is>
          <t>Critical deficit</t>
        </is>
      </c>
    </row>
    <row r="8" ht="20" customHeight="1">
      <c r="A8" t="inlineStr">
        <is>
          <t>Q1.2</t>
        </is>
      </c>
      <c r="B8" s="5" t="inlineStr">
        <is>
          <t>Primary Marketing Channels</t>
        </is>
      </c>
      <c r="C8" s="5" t="inlineStr">
        <is>
          <t>Digital (Google, Meta)</t>
        </is>
      </c>
      <c r="D8" s="8" t="n">
        <v>3</v>
      </c>
      <c r="E8" s="5" t="inlineStr">
        <is>
          <t>Modern, trackable</t>
        </is>
      </c>
    </row>
    <row r="9" ht="20" customHeight="1">
      <c r="A9" t="inlineStr">
        <is>
          <t>Q1.2</t>
        </is>
      </c>
      <c r="B9" s="5" t="inlineStr">
        <is>
          <t>Primary Marketing Channels</t>
        </is>
      </c>
      <c r="C9" s="5" t="inlineStr">
        <is>
          <t>Traditional (Print)</t>
        </is>
      </c>
      <c r="D9" s="8" t="n">
        <v>6</v>
      </c>
      <c r="E9" s="5" t="inlineStr">
        <is>
          <t>Limited ROI tracking</t>
        </is>
      </c>
    </row>
    <row r="10" ht="20" customHeight="1">
      <c r="A10" t="inlineStr">
        <is>
          <t>Q1.2</t>
        </is>
      </c>
      <c r="B10" s="5" t="inlineStr">
        <is>
          <t>Primary Marketing Channels</t>
        </is>
      </c>
      <c r="C10" s="5" t="inlineStr">
        <is>
          <t>No formal budget</t>
        </is>
      </c>
      <c r="D10" s="8" t="n">
        <v>8</v>
      </c>
      <c r="E10" s="5" t="inlineStr">
        <is>
          <t>Word-of-mouth only</t>
        </is>
      </c>
    </row>
    <row r="11" ht="20" customHeight="1">
      <c r="A11" t="inlineStr">
        <is>
          <t>Q1.3</t>
        </is>
      </c>
      <c r="B11" s="5" t="inlineStr">
        <is>
          <t>Parent Drop-off Stage</t>
        </is>
      </c>
      <c r="C11" s="5" t="inlineStr">
        <is>
          <t>After initial inquiry</t>
        </is>
      </c>
      <c r="D11" s="8" t="n">
        <v>9</v>
      </c>
      <c r="E11" s="5" t="inlineStr">
        <is>
          <t>Communication issue</t>
        </is>
      </c>
    </row>
    <row r="12" ht="20" customHeight="1">
      <c r="A12" t="inlineStr">
        <is>
          <t>Q1.3</t>
        </is>
      </c>
      <c r="B12" s="5" t="inlineStr">
        <is>
          <t>Parent Drop-off Stage</t>
        </is>
      </c>
      <c r="C12" s="5" t="inlineStr">
        <is>
          <t>After touring school</t>
        </is>
      </c>
      <c r="D12" s="8" t="n">
        <v>7</v>
      </c>
      <c r="E12" s="5" t="inlineStr">
        <is>
          <t>Value perception gap</t>
        </is>
      </c>
    </row>
    <row r="13" ht="20" customHeight="1">
      <c r="A13" t="inlineStr">
        <is>
          <t>Q1.3</t>
        </is>
      </c>
      <c r="B13" s="5" t="inlineStr">
        <is>
          <t>Parent Drop-off Stage</t>
        </is>
      </c>
      <c r="C13" s="5" t="inlineStr">
        <is>
          <t>After final offer</t>
        </is>
      </c>
      <c r="D13" s="8" t="n">
        <v>8</v>
      </c>
      <c r="E13" s="5" t="inlineStr">
        <is>
          <t>Competitive loss</t>
        </is>
      </c>
    </row>
    <row r="15" ht="20" customHeight="1">
      <c r="A15" s="2" t="inlineStr">
        <is>
          <t>C4: Teacher Attrition</t>
        </is>
      </c>
    </row>
    <row r="16">
      <c r="A16" s="7" t="inlineStr">
        <is>
          <t>Q ID</t>
        </is>
      </c>
      <c r="B16" s="7" t="inlineStr">
        <is>
          <t>Question</t>
        </is>
      </c>
      <c r="C16" s="7" t="inlineStr">
        <is>
          <t>Option</t>
        </is>
      </c>
      <c r="D16" s="7" t="inlineStr">
        <is>
          <t>Weight</t>
        </is>
      </c>
      <c r="E16" s="7" t="inlineStr">
        <is>
          <t>Interpretation</t>
        </is>
      </c>
    </row>
    <row r="17" ht="20" customHeight="1">
      <c r="A17" t="inlineStr">
        <is>
          <t>Q4.1</t>
        </is>
      </c>
      <c r="B17" s="5" t="inlineStr">
        <is>
          <t>Annual Teacher Turnover Rate</t>
        </is>
      </c>
      <c r="C17" s="5" t="inlineStr">
        <is>
          <t>Under 10%</t>
        </is>
      </c>
      <c r="D17" s="8" t="n">
        <v>2</v>
      </c>
      <c r="E17" s="5" t="inlineStr">
        <is>
          <t>Stable retention</t>
        </is>
      </c>
    </row>
    <row r="18" ht="20" customHeight="1">
      <c r="A18" t="inlineStr">
        <is>
          <t>Q4.1</t>
        </is>
      </c>
      <c r="B18" s="5" t="inlineStr">
        <is>
          <t>Annual Teacher Turnover Rate</t>
        </is>
      </c>
      <c r="C18" s="5" t="inlineStr">
        <is>
          <t>10-25%</t>
        </is>
      </c>
      <c r="D18" s="8" t="n">
        <v>6</v>
      </c>
      <c r="E18" s="5" t="inlineStr">
        <is>
          <t>Moderate churn</t>
        </is>
      </c>
    </row>
    <row r="19" ht="20" customHeight="1">
      <c r="A19" t="inlineStr">
        <is>
          <t>Q4.1</t>
        </is>
      </c>
      <c r="B19" s="5" t="inlineStr">
        <is>
          <t>Annual Teacher Turnover Rate</t>
        </is>
      </c>
      <c r="C19" s="5" t="inlineStr">
        <is>
          <t>Above 25%</t>
        </is>
      </c>
      <c r="D19" s="8" t="n">
        <v>10</v>
      </c>
      <c r="E19" s="5" t="inlineStr">
        <is>
          <t>Severe instability</t>
        </is>
      </c>
    </row>
    <row r="20" ht="20" customHeight="1">
      <c r="A20" t="inlineStr">
        <is>
          <t>Q4.2</t>
        </is>
      </c>
      <c r="B20" s="5" t="inlineStr">
        <is>
          <t>Teaching Load (periods/week)</t>
        </is>
      </c>
      <c r="C20" s="5" t="inlineStr">
        <is>
          <t>18-22 periods</t>
        </is>
      </c>
      <c r="D20" s="8" t="n">
        <v>2</v>
      </c>
      <c r="E20" s="5" t="inlineStr">
        <is>
          <t>Sustainable</t>
        </is>
      </c>
    </row>
    <row r="21" ht="20" customHeight="1">
      <c r="A21" t="inlineStr">
        <is>
          <t>Q4.2</t>
        </is>
      </c>
      <c r="B21" s="5" t="inlineStr">
        <is>
          <t>Teaching Load (periods/week)</t>
        </is>
      </c>
      <c r="C21" s="5" t="inlineStr">
        <is>
          <t>24-28 periods</t>
        </is>
      </c>
      <c r="D21" s="8" t="n">
        <v>6</v>
      </c>
      <c r="E21" s="5" t="inlineStr">
        <is>
          <t>Heavy load</t>
        </is>
      </c>
    </row>
    <row r="22" ht="20" customHeight="1">
      <c r="A22" t="inlineStr">
        <is>
          <t>Q4.2</t>
        </is>
      </c>
      <c r="B22" s="5" t="inlineStr">
        <is>
          <t>Teaching Load (periods/week)</t>
        </is>
      </c>
      <c r="C22" s="5" t="inlineStr">
        <is>
          <t>30+ periods</t>
        </is>
      </c>
      <c r="D22" s="8" t="n">
        <v>9</v>
      </c>
      <c r="E22" s="5" t="inlineStr">
        <is>
          <t>Burnout risk</t>
        </is>
      </c>
    </row>
    <row r="23" ht="20" customHeight="1">
      <c r="A23" t="inlineStr">
        <is>
          <t>Q4.3</t>
        </is>
      </c>
      <c r="B23" s="5" t="inlineStr">
        <is>
          <t>Exit Interview Reason</t>
        </is>
      </c>
      <c r="C23" s="5" t="inlineStr">
        <is>
          <t>Career gap</t>
        </is>
      </c>
      <c r="D23" s="8" t="n">
        <v>5</v>
      </c>
      <c r="E23" s="5" t="inlineStr">
        <is>
          <t>Growth opportunity</t>
        </is>
      </c>
    </row>
    <row r="24" ht="20" customHeight="1">
      <c r="A24" t="inlineStr">
        <is>
          <t>Q4.3</t>
        </is>
      </c>
      <c r="B24" s="5" t="inlineStr">
        <is>
          <t>Exit Interview Reason</t>
        </is>
      </c>
      <c r="C24" s="5" t="inlineStr">
        <is>
          <t>Better salary</t>
        </is>
      </c>
      <c r="D24" s="8" t="n">
        <v>8</v>
      </c>
      <c r="E24" s="5" t="inlineStr">
        <is>
          <t>Compensation gap</t>
        </is>
      </c>
    </row>
    <row r="25" ht="20" customHeight="1">
      <c r="A25" t="inlineStr">
        <is>
          <t>Q4.3</t>
        </is>
      </c>
      <c r="B25" s="5" t="inlineStr">
        <is>
          <t>Exit Interview Reason</t>
        </is>
      </c>
      <c r="C25" s="5" t="inlineStr">
        <is>
          <t>Burnout</t>
        </is>
      </c>
      <c r="D25" s="8" t="n">
        <v>9</v>
      </c>
      <c r="E25" s="5" t="inlineStr">
        <is>
          <t>Systemic issue</t>
        </is>
      </c>
    </row>
    <row r="27" ht="20" customHeight="1">
      <c r="A27" s="2" t="inlineStr">
        <is>
          <t>C10: Parent Communication</t>
        </is>
      </c>
    </row>
    <row r="28">
      <c r="A28" s="7" t="inlineStr">
        <is>
          <t>Q ID</t>
        </is>
      </c>
      <c r="B28" s="7" t="inlineStr">
        <is>
          <t>Question</t>
        </is>
      </c>
      <c r="C28" s="7" t="inlineStr">
        <is>
          <t>Option</t>
        </is>
      </c>
      <c r="D28" s="7" t="inlineStr">
        <is>
          <t>Weight</t>
        </is>
      </c>
      <c r="E28" s="7" t="inlineStr">
        <is>
          <t>Interpretation</t>
        </is>
      </c>
    </row>
    <row r="29" ht="20" customHeight="1">
      <c r="A29" t="inlineStr">
        <is>
          <t>Q10.1</t>
        </is>
      </c>
      <c r="B29" s="5" t="inlineStr">
        <is>
          <t>Communication Channel</t>
        </is>
      </c>
      <c r="C29" s="5" t="inlineStr">
        <is>
          <t>Formal portal/ticketing</t>
        </is>
      </c>
      <c r="D29" s="8" t="n">
        <v>2</v>
      </c>
      <c r="E29" s="5" t="inlineStr">
        <is>
          <t>Structured, trackable</t>
        </is>
      </c>
    </row>
    <row r="30" ht="20" customHeight="1">
      <c r="A30" t="inlineStr">
        <is>
          <t>Q10.1</t>
        </is>
      </c>
      <c r="B30" s="5" t="inlineStr">
        <is>
          <t>Communication Channel</t>
        </is>
      </c>
      <c r="C30" s="5" t="inlineStr">
        <is>
          <t>Physical/diary notes</t>
        </is>
      </c>
      <c r="D30" s="8" t="n">
        <v>6</v>
      </c>
      <c r="E30" s="5" t="inlineStr">
        <is>
          <t>Semi-formal</t>
        </is>
      </c>
    </row>
    <row r="31" ht="20" customHeight="1">
      <c r="A31" t="inlineStr">
        <is>
          <t>Q10.1</t>
        </is>
      </c>
      <c r="B31" s="5" t="inlineStr">
        <is>
          <t>Communication Channel</t>
        </is>
      </c>
      <c r="C31" s="5" t="inlineStr">
        <is>
          <t>WhatsApp/direct calls</t>
        </is>
      </c>
      <c r="D31" s="8" t="n">
        <v>9</v>
      </c>
      <c r="E31" s="5" t="inlineStr">
        <is>
          <t>Chaotic communication</t>
        </is>
      </c>
    </row>
    <row r="32" ht="20" customHeight="1">
      <c r="A32" t="inlineStr">
        <is>
          <t>Q10.2</t>
        </is>
      </c>
      <c r="B32" s="5" t="inlineStr">
        <is>
          <t>Query Response Time (SLA)</t>
        </is>
      </c>
      <c r="C32" s="5" t="inlineStr">
        <is>
          <t>Under 24 hours</t>
        </is>
      </c>
      <c r="D32" s="8" t="n">
        <v>1</v>
      </c>
      <c r="E32" s="5" t="inlineStr">
        <is>
          <t>Rapid response</t>
        </is>
      </c>
    </row>
    <row r="33" ht="20" customHeight="1">
      <c r="A33" t="inlineStr">
        <is>
          <t>Q10.2</t>
        </is>
      </c>
      <c r="B33" s="5" t="inlineStr">
        <is>
          <t>Query Response Time (SLA)</t>
        </is>
      </c>
      <c r="C33" s="5" t="inlineStr">
        <is>
          <t>24-48 hours</t>
        </is>
      </c>
      <c r="D33" s="8" t="n">
        <v>5</v>
      </c>
      <c r="E33" s="5" t="inlineStr">
        <is>
          <t>Acceptable delay</t>
        </is>
      </c>
    </row>
    <row r="34" ht="20" customHeight="1">
      <c r="A34" t="inlineStr">
        <is>
          <t>Q10.2</t>
        </is>
      </c>
      <c r="B34" s="5" t="inlineStr">
        <is>
          <t>Query Response Time (SLA)</t>
        </is>
      </c>
      <c r="C34" s="5" t="inlineStr">
        <is>
          <t>Over 48 hours</t>
        </is>
      </c>
      <c r="D34" s="8" t="n">
        <v>9</v>
      </c>
      <c r="E34" s="5" t="inlineStr">
        <is>
          <t>Severe communication breakdown</t>
        </is>
      </c>
    </row>
  </sheetData>
  <mergeCells count="4">
    <mergeCell ref="A15:E15"/>
    <mergeCell ref="A1:E1"/>
    <mergeCell ref="A27:E2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  <col width="20" customWidth="1" min="4" max="4"/>
  </cols>
  <sheetData>
    <row r="1" ht="25" customHeight="1">
      <c r="A1" s="1" t="inlineStr">
        <is>
          <t>DISHA FIRST OPINION ENGINE - LIVE CALCULATION EXAMPLE</t>
        </is>
      </c>
    </row>
    <row r="3">
      <c r="A3" s="2" t="inlineStr">
        <is>
          <t>SCHOOL DETAILS</t>
        </is>
      </c>
    </row>
    <row r="4">
      <c r="A4" s="9" t="inlineStr">
        <is>
          <t>School Name</t>
        </is>
      </c>
      <c r="B4" s="10" t="inlineStr">
        <is>
          <t>ABC High School</t>
        </is>
      </c>
    </row>
    <row r="5">
      <c r="A5" s="9" t="inlineStr">
        <is>
          <t>Board Affiliation</t>
        </is>
      </c>
      <c r="B5" s="10" t="inlineStr">
        <is>
          <t>CBSE</t>
        </is>
      </c>
    </row>
    <row r="6">
      <c r="A6" s="9" t="inlineStr">
        <is>
          <t>Total Students</t>
        </is>
      </c>
      <c r="B6" t="n">
        <v>450</v>
      </c>
    </row>
    <row r="7">
      <c r="A7" s="9" t="inlineStr">
        <is>
          <t>City/District</t>
        </is>
      </c>
      <c r="B7" s="10" t="inlineStr">
        <is>
          <t>Mumbai</t>
        </is>
      </c>
    </row>
    <row r="8">
      <c r="A8" s="9" t="inlineStr">
        <is>
          <t>Annual Fee</t>
        </is>
      </c>
      <c r="B8" t="inlineStr">
        <is>
          <t>₹2-3 Lakhs</t>
        </is>
      </c>
    </row>
    <row r="10">
      <c r="A10" s="2" t="inlineStr">
        <is>
          <t>CHALLENGE SELECTION (USER SELECTED 3)</t>
        </is>
      </c>
    </row>
    <row r="11">
      <c r="A11" t="inlineStr">
        <is>
          <t>C1</t>
        </is>
      </c>
      <c r="B11" t="inlineStr">
        <is>
          <t>Enrollment Decline</t>
        </is>
      </c>
      <c r="C11" s="6" t="n">
        <v>50</v>
      </c>
      <c r="D11" t="inlineStr">
        <is>
          <t>Primary (50% weight)</t>
        </is>
      </c>
    </row>
    <row r="12">
      <c r="A12" t="inlineStr">
        <is>
          <t>C4</t>
        </is>
      </c>
      <c r="B12" t="inlineStr">
        <is>
          <t>Teacher Attrition</t>
        </is>
      </c>
      <c r="C12" s="6" t="n">
        <v>30</v>
      </c>
      <c r="D12" t="inlineStr">
        <is>
          <t>Secondary (30% weight)</t>
        </is>
      </c>
    </row>
    <row r="13">
      <c r="A13" t="inlineStr">
        <is>
          <t>C10</t>
        </is>
      </c>
      <c r="B13" t="inlineStr">
        <is>
          <t>Parent Communication</t>
        </is>
      </c>
      <c r="C13" s="6" t="n">
        <v>20</v>
      </c>
      <c r="D13" t="inlineStr">
        <is>
          <t>Tertiary (20% weight)</t>
        </is>
      </c>
    </row>
    <row r="15">
      <c r="A15" s="2" t="inlineStr">
        <is>
          <t>SCREENING QUESTION ANSWERS</t>
        </is>
      </c>
    </row>
    <row r="16">
      <c r="A16" t="inlineStr">
        <is>
          <t>C1-Q1.1</t>
        </is>
      </c>
      <c r="B16" t="inlineStr">
        <is>
          <t>Enrollment Decline - Conversion Rate</t>
        </is>
      </c>
      <c r="C16" t="inlineStr">
        <is>
          <t>Below 10%</t>
        </is>
      </c>
      <c r="D16" s="8" t="n">
        <v>10</v>
      </c>
    </row>
    <row r="17">
      <c r="A17" t="inlineStr">
        <is>
          <t>C1-Q1.2</t>
        </is>
      </c>
      <c r="B17" t="inlineStr">
        <is>
          <t>Enrollment Decline - Marketing</t>
        </is>
      </c>
      <c r="C17" t="inlineStr">
        <is>
          <t>No formal budget</t>
        </is>
      </c>
      <c r="D17" s="8" t="n">
        <v>8</v>
      </c>
    </row>
    <row r="18">
      <c r="A18" t="inlineStr">
        <is>
          <t>C1-Q1.3</t>
        </is>
      </c>
      <c r="B18" t="inlineStr">
        <is>
          <t>Enrollment Decline - Drop-off</t>
        </is>
      </c>
      <c r="C18" t="inlineStr">
        <is>
          <t>After inquiry</t>
        </is>
      </c>
      <c r="D18" s="8" t="n">
        <v>9</v>
      </c>
    </row>
    <row r="19">
      <c r="A19" t="inlineStr">
        <is>
          <t>C4-Q4.1</t>
        </is>
      </c>
      <c r="B19" t="inlineStr">
        <is>
          <t>Teacher Attrition - Turnover Rate</t>
        </is>
      </c>
      <c r="C19" t="inlineStr">
        <is>
          <t>25%</t>
        </is>
      </c>
      <c r="D19" s="8" t="n">
        <v>6</v>
      </c>
    </row>
    <row r="20">
      <c r="A20" t="inlineStr">
        <is>
          <t>C4-Q4.2</t>
        </is>
      </c>
      <c r="B20" t="inlineStr">
        <is>
          <t>Teacher Attrition - Teaching Load</t>
        </is>
      </c>
      <c r="C20" t="inlineStr">
        <is>
          <t>24-28 periods</t>
        </is>
      </c>
      <c r="D20" s="8" t="n">
        <v>6</v>
      </c>
    </row>
    <row r="21">
      <c r="A21" t="inlineStr">
        <is>
          <t>C4-Q4.3</t>
        </is>
      </c>
      <c r="B21" t="inlineStr">
        <is>
          <t>Teacher Attrition - Exit Reason</t>
        </is>
      </c>
      <c r="C21" t="inlineStr">
        <is>
          <t>Burnout</t>
        </is>
      </c>
      <c r="D21" s="8" t="n">
        <v>9</v>
      </c>
    </row>
    <row r="22">
      <c r="A22" t="inlineStr">
        <is>
          <t>C10-Q10.1</t>
        </is>
      </c>
      <c r="B22" t="inlineStr">
        <is>
          <t>Parent Comm - Channel</t>
        </is>
      </c>
      <c r="C22" t="inlineStr">
        <is>
          <t>WhatsApp/calls</t>
        </is>
      </c>
      <c r="D22" s="8" t="n">
        <v>9</v>
      </c>
    </row>
    <row r="23">
      <c r="A23" t="inlineStr">
        <is>
          <t>C10-Q10.2</t>
        </is>
      </c>
      <c r="B23" t="inlineStr">
        <is>
          <t>Parent Comm - Response Time</t>
        </is>
      </c>
      <c r="C23" t="inlineStr">
        <is>
          <t>Over 48 hours</t>
        </is>
      </c>
      <c r="D23" s="8" t="n">
        <v>9</v>
      </c>
    </row>
    <row r="25">
      <c r="A25" s="2" t="inlineStr">
        <is>
          <t>OPERATIONAL METRICS INPUT</t>
        </is>
      </c>
    </row>
    <row r="26">
      <c r="A26" s="9" t="inlineStr">
        <is>
          <t>Student-Teacher Ratio (STR)</t>
        </is>
      </c>
      <c r="B26" s="10" t="n">
        <v>34</v>
      </c>
      <c r="C26" t="inlineStr">
        <is>
          <t>Students / Full-time Teachers</t>
        </is>
      </c>
    </row>
    <row r="27">
      <c r="A27" s="9" t="inlineStr">
        <is>
          <t>Parent Response SLA (hours)</t>
        </is>
      </c>
      <c r="B27" s="10" t="n">
        <v>52</v>
      </c>
      <c r="C27" t="inlineStr">
        <is>
          <t>Avg. hours to resolve query</t>
        </is>
      </c>
    </row>
    <row r="28">
      <c r="A28" s="9" t="inlineStr">
        <is>
          <t>Teacher Training (hours/year)</t>
        </is>
      </c>
      <c r="B28" s="10" t="n">
        <v>8</v>
      </c>
      <c r="C28" t="inlineStr">
        <is>
          <t>Annual Professional Development</t>
        </is>
      </c>
    </row>
    <row r="29">
      <c r="A29" s="9" t="inlineStr">
        <is>
          <t>Weekly Planning Time (hours)</t>
        </is>
      </c>
      <c r="B29" s="10" t="n">
        <v>2</v>
      </c>
      <c r="C29" t="inlineStr">
        <is>
          <t>Hours per teacher per week</t>
        </is>
      </c>
    </row>
    <row r="31">
      <c r="A31" s="2" t="inlineStr">
        <is>
          <t>CALCULATION STEPS</t>
        </is>
      </c>
    </row>
    <row r="32">
      <c r="A32" s="11" t="inlineStr">
        <is>
          <t>STEP 1: SUBJECTIVE BASE SCORE (S_sub)</t>
        </is>
      </c>
    </row>
    <row r="33">
      <c r="A33" t="inlineStr">
        <is>
          <t>Formula:</t>
        </is>
      </c>
      <c r="B33">
        <f>100 - ((SUM(Question Weights) / (N × 10)) × 100)</f>
        <v/>
      </c>
      <c r="C33" t="inlineStr">
        <is>
          <t>Sum of all answer weights</t>
        </is>
      </c>
    </row>
    <row r="34">
      <c r="A34" t="inlineStr">
        <is>
          <t>Sum of weights:</t>
        </is>
      </c>
      <c r="B34" s="9" t="n">
        <v>66</v>
      </c>
    </row>
    <row r="35">
      <c r="A35" t="inlineStr">
        <is>
          <t>Number of questions:</t>
        </is>
      </c>
      <c r="B35" s="9" t="n">
        <v>8</v>
      </c>
    </row>
    <row r="36">
      <c r="A36" t="inlineStr">
        <is>
          <t>S_sub RESULT:</t>
        </is>
      </c>
      <c r="B36" s="12" t="n">
        <v>17.5</v>
      </c>
    </row>
    <row r="37">
      <c r="A37" t="inlineStr">
        <is>
          <t>Interpretation:</t>
        </is>
      </c>
      <c r="B37" t="inlineStr">
        <is>
          <t>School rates itself very poorly (low confidence)</t>
        </is>
      </c>
    </row>
    <row r="39">
      <c r="A39" s="11" t="inlineStr">
        <is>
          <t>STEP 2: OBJECTIVE SCALING MULTIPLIERS</t>
        </is>
      </c>
    </row>
    <row r="40">
      <c r="A40" t="inlineStr">
        <is>
          <t>STR = 34:1</t>
        </is>
      </c>
      <c r="B40" s="12" t="n">
        <v>0.88</v>
      </c>
      <c r="C40" t="inlineStr">
        <is>
          <t>Overcrowded classrooms</t>
        </is>
      </c>
    </row>
    <row r="41">
      <c r="A41" t="inlineStr">
        <is>
          <t>SLA = 52 hours</t>
        </is>
      </c>
      <c r="B41" s="12" t="n">
        <v>0.7</v>
      </c>
      <c r="C41" t="inlineStr">
        <is>
          <t>Severe communication breakdown</t>
        </is>
      </c>
    </row>
    <row r="42">
      <c r="A42" t="inlineStr">
        <is>
          <t>Training = 8 hours/year</t>
        </is>
      </c>
      <c r="B42" s="12" t="n">
        <v>0.85</v>
      </c>
      <c r="C42" t="inlineStr">
        <is>
          <t>Stagnant pedagogy</t>
        </is>
      </c>
    </row>
    <row r="43">
      <c r="A43" t="inlineStr">
        <is>
          <t>Planning = 2 hours/week</t>
        </is>
      </c>
      <c r="B43" s="12" t="n">
        <v>0.88</v>
      </c>
      <c r="C43" t="inlineStr">
        <is>
          <t>Ad-hoc classroom delivery</t>
        </is>
      </c>
    </row>
    <row r="44">
      <c r="A44" t="inlineStr">
        <is>
          <t>M_obj RESULT:</t>
        </is>
      </c>
      <c r="B44" s="12" t="n">
        <v>0.460768</v>
      </c>
      <c r="C44" t="inlineStr">
        <is>
          <t>Composite objective factor</t>
        </is>
      </c>
    </row>
    <row r="46">
      <c r="A46" t="inlineStr">
        <is>
          <t>STEP 3: SCALED SCORE</t>
        </is>
      </c>
      <c r="B46">
        <f>S_sub × M_obj</f>
        <v/>
      </c>
      <c r="C46" t="inlineStr">
        <is>
          <t>Perception × Reality</t>
        </is>
      </c>
    </row>
    <row r="47">
      <c r="A47" t="inlineStr">
        <is>
          <t>Scaled Score:</t>
        </is>
      </c>
      <c r="B47" s="12" t="n">
        <v>8.06344</v>
      </c>
      <c r="C47" t="inlineStr">
        <is>
          <t>Severity × Operational Reality</t>
        </is>
      </c>
    </row>
    <row r="49">
      <c r="A49" t="inlineStr">
        <is>
          <t>STEP 4: DELUSION PENALTY</t>
        </is>
      </c>
      <c r="B49">
        <f>IF(AND(S_sub&gt;=80, M_obj&lt;=0.85), 15, IF(AND(S_sub&gt;=70, M_obj&lt;=0.78), 10, 0))</f>
        <v/>
      </c>
    </row>
    <row r="50">
      <c r="A50" t="inlineStr">
        <is>
          <t>Condition check:</t>
        </is>
      </c>
      <c r="B50" t="inlineStr">
        <is>
          <t>S_sub (17.50) &gt;= 80? NO</t>
        </is>
      </c>
      <c r="C50" t="inlineStr">
        <is>
          <t>No delusional comfort detected</t>
        </is>
      </c>
    </row>
    <row r="51">
      <c r="A51" t="inlineStr">
        <is>
          <t>Delusion Penalty:</t>
        </is>
      </c>
      <c r="B51" s="12" t="n">
        <v>0</v>
      </c>
    </row>
    <row r="53" ht="20" customHeight="1">
      <c r="A53" s="2" t="inlineStr">
        <is>
          <t>FINAL HEALTH INDEX (H)</t>
        </is>
      </c>
    </row>
    <row r="54">
      <c r="A54" t="inlineStr">
        <is>
          <t>Formula:</t>
        </is>
      </c>
      <c r="B54">
        <f>MAX(0, MIN(100, Scaled_Score - P_mismatch))</f>
        <v/>
      </c>
    </row>
    <row r="55">
      <c r="A55" t="inlineStr">
        <is>
          <t>Health Index:</t>
        </is>
      </c>
      <c r="B55" s="13" t="n">
        <v>8.06344</v>
      </c>
    </row>
    <row r="56">
      <c r="A56" t="inlineStr">
        <is>
          <t>Risk Level:</t>
        </is>
      </c>
      <c r="B56" s="14" t="inlineStr">
        <is>
          <t>HIGH RISK - RED ALERT</t>
        </is>
      </c>
    </row>
    <row r="57">
      <c r="A57" t="inlineStr">
        <is>
          <t>Risk Quadrant:</t>
        </is>
      </c>
      <c r="B57" s="15" t="inlineStr">
        <is>
          <t>CRITICAL COLLAPSE</t>
        </is>
      </c>
    </row>
  </sheetData>
  <mergeCells count="12">
    <mergeCell ref="A1:D1"/>
    <mergeCell ref="A31:D31"/>
    <mergeCell ref="B37:D37"/>
    <mergeCell ref="A53:D53"/>
    <mergeCell ref="A3:D3"/>
    <mergeCell ref="B49:D49"/>
    <mergeCell ref="A39:D39"/>
    <mergeCell ref="A15:D15"/>
    <mergeCell ref="A25:D25"/>
    <mergeCell ref="A10:D10"/>
    <mergeCell ref="A32:D32"/>
    <mergeCell ref="B54:D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2026-08-02T14:52:22Z</dcterms:created>
  <dcterms:modified xsi:type="dcterms:W3CDTF">2026-08-02T14:52:22Z</dcterms:modified>
</cp:coreProperties>
</file>